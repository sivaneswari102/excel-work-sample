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7b569ed5826f27/Documents/"/>
    </mc:Choice>
  </mc:AlternateContent>
  <xr:revisionPtr revIDLastSave="0" documentId="8_{B23AC773-49CE-499C-A761-1346D98D51CC}" xr6:coauthVersionLast="47" xr6:coauthVersionMax="47" xr10:uidLastSave="{00000000-0000-0000-0000-000000000000}"/>
  <bookViews>
    <workbookView xWindow="11424" yWindow="0" windowWidth="11712" windowHeight="12336" xr2:uid="{C6B49A8F-756D-49A7-B174-BD040A0FEBC8}"/>
  </bookViews>
  <sheets>
    <sheet name="Sheet1" sheetId="1" r:id="rId1"/>
  </sheets>
  <definedNames>
    <definedName name="_xlnm._FilterDatabase" localSheetId="0" hidden="1">Sheet1!$H$1:$H$11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2" i="1"/>
  <c r="H11" i="1"/>
  <c r="H3" i="1"/>
  <c r="H4" i="1"/>
  <c r="H5" i="1"/>
  <c r="H6" i="1"/>
  <c r="H7" i="1"/>
  <c r="H8" i="1"/>
  <c r="H9" i="1"/>
  <c r="H10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<sst xmlns="http://schemas.openxmlformats.org/spreadsheetml/2006/main" count="21" uniqueCount="21">
  <si>
    <t>Roll No</t>
  </si>
  <si>
    <t>Name</t>
  </si>
  <si>
    <t>Maths</t>
  </si>
  <si>
    <t>Science</t>
  </si>
  <si>
    <t>English</t>
  </si>
  <si>
    <t>Total</t>
  </si>
  <si>
    <t>Average</t>
  </si>
  <si>
    <t>Result</t>
  </si>
  <si>
    <t>Aarav</t>
  </si>
  <si>
    <t>Divya</t>
  </si>
  <si>
    <t>Karthik</t>
  </si>
  <si>
    <t>Meena</t>
  </si>
  <si>
    <t>Rahul</t>
  </si>
  <si>
    <t>Priya</t>
  </si>
  <si>
    <t>Sanjay</t>
  </si>
  <si>
    <t>Anu</t>
  </si>
  <si>
    <t>Vikram</t>
  </si>
  <si>
    <t>Nisha</t>
  </si>
  <si>
    <t>Result Count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</si>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</sst>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RESULT</a:t>
            </a:r>
          </a:p>
        </c:rich>
      </c:tx>
      <c:layout>
        <c:manualLayout>
          <c:xMode val="edge"/>
          <c:yMode val="edge"/>
          <c:x val="0.3891248906386701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Sheet1!$J$1:$J$3</c:f>
              <c:strCache>
                <c:ptCount val="3"/>
                <c:pt idx="0">
                  <c:v>Result Count</c:v>
                </c:pt>
                <c:pt idx="1">
                  <c:v>Pass</c:v>
                </c:pt>
                <c:pt idx="2">
                  <c:v>Fail</c:v>
                </c:pt>
              </c:strCache>
            </c:strRef>
          </c:cat>
          <c:val>
            <c:numRef>
              <c:f>Sheet1!$K$1:$K$3</c:f>
              <c:numCache>
                <c:formatCode>General</c:formatCode>
                <c:ptCount val="3"/>
                <c:pt idx="1">
                  <c:v>7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B-45B9-87EC-34AB89AD982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5584895"/>
        <c:axId val="1615601695"/>
      </c:barChart>
      <c:catAx>
        <c:axId val="1615584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601695"/>
        <c:crosses val="autoZero"/>
        <c:auto val="1"/>
        <c:lblAlgn val="ctr"/>
        <c:lblOffset val="100"/>
        <c:noMultiLvlLbl val="0"/>
      </c:catAx>
      <c:valAx>
        <c:axId val="161560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58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Sheet1!$C$2:$C$11</c:f>
              <c:numCache>
                <c:formatCode>General</c:formatCode>
                <c:ptCount val="10"/>
                <c:pt idx="0">
                  <c:v>78</c:v>
                </c:pt>
                <c:pt idx="1">
                  <c:v>65</c:v>
                </c:pt>
                <c:pt idx="2">
                  <c:v>90</c:v>
                </c:pt>
                <c:pt idx="3">
                  <c:v>55</c:v>
                </c:pt>
                <c:pt idx="4">
                  <c:v>40</c:v>
                </c:pt>
                <c:pt idx="5">
                  <c:v>85</c:v>
                </c:pt>
                <c:pt idx="6">
                  <c:v>67</c:v>
                </c:pt>
                <c:pt idx="7">
                  <c:v>95</c:v>
                </c:pt>
                <c:pt idx="8">
                  <c:v>60</c:v>
                </c:pt>
                <c:pt idx="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5-4B5E-BEDE-6914C7AC6D5D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Sheet1!$D$2:$D$11</c:f>
              <c:numCache>
                <c:formatCode>General</c:formatCode>
                <c:ptCount val="10"/>
                <c:pt idx="0">
                  <c:v>82</c:v>
                </c:pt>
                <c:pt idx="1">
                  <c:v>70</c:v>
                </c:pt>
                <c:pt idx="2">
                  <c:v>32</c:v>
                </c:pt>
                <c:pt idx="3">
                  <c:v>60</c:v>
                </c:pt>
                <c:pt idx="4">
                  <c:v>54</c:v>
                </c:pt>
                <c:pt idx="5">
                  <c:v>80</c:v>
                </c:pt>
                <c:pt idx="6">
                  <c:v>75</c:v>
                </c:pt>
                <c:pt idx="7">
                  <c:v>92</c:v>
                </c:pt>
                <c:pt idx="8">
                  <c:v>22</c:v>
                </c:pt>
                <c:pt idx="9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F5-4B5E-BEDE-6914C7AC6D5D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Sheet1!$E$2:$E$11</c:f>
              <c:numCache>
                <c:formatCode>General</c:formatCode>
                <c:ptCount val="10"/>
                <c:pt idx="0">
                  <c:v>75</c:v>
                </c:pt>
                <c:pt idx="1">
                  <c:v>68</c:v>
                </c:pt>
                <c:pt idx="2">
                  <c:v>92</c:v>
                </c:pt>
                <c:pt idx="3">
                  <c:v>58</c:v>
                </c:pt>
                <c:pt idx="4">
                  <c:v>50</c:v>
                </c:pt>
                <c:pt idx="5">
                  <c:v>88</c:v>
                </c:pt>
                <c:pt idx="6">
                  <c:v>70</c:v>
                </c:pt>
                <c:pt idx="7">
                  <c:v>90</c:v>
                </c:pt>
                <c:pt idx="8">
                  <c:v>62</c:v>
                </c:pt>
                <c:pt idx="9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F5-4B5E-BEDE-6914C7AC6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6033519"/>
        <c:axId val="1716034479"/>
      </c:barChart>
      <c:catAx>
        <c:axId val="1716033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34479"/>
        <c:crosses val="autoZero"/>
        <c:auto val="1"/>
        <c:lblAlgn val="ctr"/>
        <c:lblOffset val="100"/>
        <c:noMultiLvlLbl val="0"/>
      </c:catAx>
      <c:valAx>
        <c:axId val="171603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3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11</xdr:row>
      <xdr:rowOff>102870</xdr:rowOff>
    </xdr:from>
    <xdr:to>
      <xdr:col>8</xdr:col>
      <xdr:colOff>320040</xdr:colOff>
      <xdr:row>26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DC3895-2E0A-BB2A-F274-8E90D95AC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579120</xdr:colOff>
      <xdr:row>11</xdr:row>
      <xdr:rowOff>11430</xdr:rowOff>
    </xdr:from>
    <xdr:to>
      <xdr:col>16</xdr:col>
      <xdr:colOff>106680</xdr:colOff>
      <xdr:row>26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5212A6-13EA-AD23-6AD8-30D51F746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563880</xdr:colOff>
      <xdr:row>11</xdr:row>
      <xdr:rowOff>72390</xdr:rowOff>
    </xdr:from>
    <xdr:to>
      <xdr:col>16</xdr:col>
      <xdr:colOff>91440</xdr:colOff>
      <xdr:row>26</xdr:row>
      <xdr:rowOff>72390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A47E90-EDDB-A264-831C-C46A17462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A29A-721D-487B-84BC-796747DCBE92}">
  <dimension ref="A1:K11"/>
  <sheetViews>
    <sheetView tabSelected="1" topLeftCell="H1" workbookViewId="0">
      <selection activeCell="J9" sqref="J9"/>
    </sheetView>
  </sheetViews>
  <sheetFormatPr defaultRowHeight="14.4" x14ac:dyDescent="0.3"/>
  <cols>
    <col min="10" max="10" width="11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18</v>
      </c>
    </row>
    <row r="2" spans="1:11" x14ac:dyDescent="0.3">
      <c r="A2">
        <v>101</v>
      </c>
      <c r="B2" t="s">
        <v>8</v>
      </c>
      <c r="C2">
        <v>78</v>
      </c>
      <c r="D2">
        <v>82</v>
      </c>
      <c r="E2">
        <v>75</v>
      </c>
      <c r="F2">
        <f>SUM(C2:E2)</f>
        <v>235</v>
      </c>
      <c r="G2">
        <f>AVERAGE(C2:E2)</f>
        <v>78.333333333333329</v>
      </c>
      <c r="H2" t="str">
        <f>IF(AND(C2&gt;50,D2&gt;50,E2&gt;50),"Pass","Fail")</f>
        <v>Pass</v>
      </c>
      <c r="J2" t="s">
        <v>19</v>
      </c>
      <c r="K2">
        <f>COUNTIF(H2:H11,"Pass")</f>
        <v>7</v>
      </c>
    </row>
    <row r="3" spans="1:11" x14ac:dyDescent="0.3">
      <c r="A3">
        <v>102</v>
      </c>
      <c r="B3" t="s">
        <v>9</v>
      </c>
      <c r="C3">
        <v>65</v>
      </c>
      <c r="D3">
        <v>70</v>
      </c>
      <c r="E3">
        <v>68</v>
      </c>
      <c r="F3">
        <f t="shared" ref="F3:F11" si="0">SUM(C3:E3)</f>
        <v>203</v>
      </c>
      <c r="G3">
        <f t="shared" ref="G3:G11" si="1">AVERAGE(C3:E3)</f>
        <v>67.666666666666671</v>
      </c>
      <c r="H3" t="str">
        <f t="shared" ref="H3:H11" si="2">IF(AND(C3&gt;50,D3&gt;50,E3&gt;50),"Pass","Fail")</f>
        <v>Pass</v>
      </c>
      <c r="J3" t="s">
        <v>20</v>
      </c>
      <c r="K3">
        <f>COUNTIF(H2:H11,"Fail")</f>
        <v>3</v>
      </c>
    </row>
    <row r="4" spans="1:11" x14ac:dyDescent="0.3">
      <c r="A4">
        <v>103</v>
      </c>
      <c r="B4" t="s">
        <v>10</v>
      </c>
      <c r="C4">
        <v>90</v>
      </c>
      <c r="D4">
        <v>32</v>
      </c>
      <c r="E4">
        <v>92</v>
      </c>
      <c r="F4">
        <f t="shared" si="0"/>
        <v>214</v>
      </c>
      <c r="G4">
        <f t="shared" si="1"/>
        <v>71.333333333333329</v>
      </c>
      <c r="H4" t="str">
        <f t="shared" si="2"/>
        <v>Fail</v>
      </c>
    </row>
    <row r="5" spans="1:11" x14ac:dyDescent="0.3">
      <c r="A5">
        <v>104</v>
      </c>
      <c r="B5" t="s">
        <v>11</v>
      </c>
      <c r="C5">
        <v>55</v>
      </c>
      <c r="D5">
        <v>60</v>
      </c>
      <c r="E5">
        <v>58</v>
      </c>
      <c r="F5">
        <f t="shared" si="0"/>
        <v>173</v>
      </c>
      <c r="G5">
        <f t="shared" si="1"/>
        <v>57.666666666666664</v>
      </c>
      <c r="H5" t="str">
        <f t="shared" si="2"/>
        <v>Pass</v>
      </c>
    </row>
    <row r="6" spans="1:11" x14ac:dyDescent="0.3">
      <c r="A6">
        <v>105</v>
      </c>
      <c r="B6" t="s">
        <v>12</v>
      </c>
      <c r="C6">
        <v>40</v>
      </c>
      <c r="D6">
        <v>54</v>
      </c>
      <c r="E6">
        <v>50</v>
      </c>
      <c r="F6">
        <f t="shared" si="0"/>
        <v>144</v>
      </c>
      <c r="G6">
        <f t="shared" si="1"/>
        <v>48</v>
      </c>
      <c r="H6" t="str">
        <f t="shared" si="2"/>
        <v>Fail</v>
      </c>
    </row>
    <row r="7" spans="1:11" x14ac:dyDescent="0.3">
      <c r="A7">
        <v>106</v>
      </c>
      <c r="B7" t="s">
        <v>13</v>
      </c>
      <c r="C7">
        <v>85</v>
      </c>
      <c r="D7">
        <v>80</v>
      </c>
      <c r="E7">
        <v>88</v>
      </c>
      <c r="F7">
        <f t="shared" si="0"/>
        <v>253</v>
      </c>
      <c r="G7">
        <f t="shared" si="1"/>
        <v>84.333333333333329</v>
      </c>
      <c r="H7" t="str">
        <f t="shared" si="2"/>
        <v>Pass</v>
      </c>
    </row>
    <row r="8" spans="1:11" x14ac:dyDescent="0.3">
      <c r="A8">
        <v>107</v>
      </c>
      <c r="B8" t="s">
        <v>14</v>
      </c>
      <c r="C8">
        <v>67</v>
      </c>
      <c r="D8">
        <v>75</v>
      </c>
      <c r="E8">
        <v>70</v>
      </c>
      <c r="F8">
        <f t="shared" si="0"/>
        <v>212</v>
      </c>
      <c r="G8">
        <f t="shared" si="1"/>
        <v>70.666666666666671</v>
      </c>
      <c r="H8" t="str">
        <f t="shared" si="2"/>
        <v>Pass</v>
      </c>
    </row>
    <row r="9" spans="1:11" x14ac:dyDescent="0.3">
      <c r="A9">
        <v>108</v>
      </c>
      <c r="B9" t="s">
        <v>15</v>
      </c>
      <c r="C9">
        <v>95</v>
      </c>
      <c r="D9">
        <v>92</v>
      </c>
      <c r="E9">
        <v>90</v>
      </c>
      <c r="F9">
        <f t="shared" si="0"/>
        <v>277</v>
      </c>
      <c r="G9">
        <f t="shared" si="1"/>
        <v>92.333333333333329</v>
      </c>
      <c r="H9" t="str">
        <f t="shared" si="2"/>
        <v>Pass</v>
      </c>
    </row>
    <row r="10" spans="1:11" x14ac:dyDescent="0.3">
      <c r="A10">
        <v>109</v>
      </c>
      <c r="B10" t="s">
        <v>16</v>
      </c>
      <c r="C10">
        <v>60</v>
      </c>
      <c r="D10">
        <v>22</v>
      </c>
      <c r="E10">
        <v>62</v>
      </c>
      <c r="F10">
        <f t="shared" si="0"/>
        <v>144</v>
      </c>
      <c r="G10">
        <f t="shared" si="1"/>
        <v>48</v>
      </c>
      <c r="H10" t="str">
        <f t="shared" si="2"/>
        <v>Fail</v>
      </c>
    </row>
    <row r="11" spans="1:11" x14ac:dyDescent="0.3">
      <c r="A11">
        <v>110</v>
      </c>
      <c r="B11" t="s">
        <v>17</v>
      </c>
      <c r="C11">
        <v>70</v>
      </c>
      <c r="D11">
        <v>68</v>
      </c>
      <c r="E11">
        <v>74</v>
      </c>
      <c r="F11">
        <f t="shared" si="0"/>
        <v>212</v>
      </c>
      <c r="G11">
        <f t="shared" si="1"/>
        <v>70.666666666666671</v>
      </c>
      <c r="H11" t="str">
        <f t="shared" si="2"/>
        <v>Pass</v>
      </c>
    </row>
  </sheetData>
  <autoFilter ref="H1:H11" xr:uid="{7371A29A-721D-487B-84BC-796747DCBE92}"/>
  <conditionalFormatting sqref="C2:E11">
    <cfRule type="cellIs" dxfId="0" priority="5" operator="lessThan">
      <formula>50</formula>
    </cfRule>
    <cfRule type="cellIs" dxfId="1" priority="4" operator="greaterThan">
      <formula>50</formula>
    </cfRule>
    <cfRule type="cellIs" dxfId="2" priority="3" operator="greaterThan">
      <formula>49</formula>
    </cfRule>
    <cfRule type="cellIs" dxfId="3" priority="2" operator="lessThan">
      <formula>49</formula>
    </cfRule>
    <cfRule type="cellIs" dxfId="4" priority="1" operator="greaterThan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Sivaneswari R</dc:creator>
  <cp:lastModifiedBy>Sivaneswari R</cp:lastModifiedBy>
  <dcterms:created xsi:type="dcterms:W3CDTF">2025-12-28T07:31:54Z</dcterms:created>
  <dcterms:modified xsi:type="dcterms:W3CDTF">2025-12-28T07:52:06Z</dcterms:modified>
</cp:coreProperties>
</file>